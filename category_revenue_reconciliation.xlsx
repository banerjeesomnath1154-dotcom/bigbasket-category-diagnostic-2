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Reconciliation" sheetId="1" state="visible" r:id="rId1"/>
    <sheet xmlns:r="http://schemas.openxmlformats.org/officeDocument/2006/relationships" name="Monthly Data" sheetId="2" state="visible" r:id="rId2"/>
    <sheet xmlns:r="http://schemas.openxmlformats.org/officeDocument/2006/relationships" name="Category 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;[Red](₹#,##0);&quot;-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3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2" fillId="0" borderId="2" applyAlignment="1" pivotButton="0" quotePrefix="0" xfId="0">
      <alignment horizontal="left"/>
    </xf>
    <xf numFmtId="164" fontId="2" fillId="0" borderId="2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10" fontId="2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24" customWidth="1" min="3" max="3"/>
    <col width="18" customWidth="1" min="4" max="4"/>
    <col width="23" customWidth="1" min="5" max="5"/>
    <col width="19" customWidth="1" min="6" max="6"/>
    <col width="32" customWidth="1" min="7" max="7"/>
    <col width="29" customWidth="1" min="8" max="8"/>
  </cols>
  <sheetData>
    <row r="1" ht="28" customHeight="1">
      <c r="A1" s="1" t="inlineStr">
        <is>
          <t>Category</t>
        </is>
      </c>
      <c r="B1" s="1" t="inlineStr">
        <is>
          <t>Spreadsheet Pivot Revenue (INR)</t>
        </is>
      </c>
      <c r="C1" s="1" t="inlineStr">
        <is>
          <t>Target Revenue (INR)</t>
        </is>
      </c>
      <c r="D1" s="1" t="inlineStr">
        <is>
          <t>Variance (INR)</t>
        </is>
      </c>
      <c r="E1" s="1" t="inlineStr">
        <is>
          <t>Percentage Variance</t>
        </is>
      </c>
      <c r="F1" s="1" t="inlineStr">
        <is>
          <t>Category Status</t>
        </is>
      </c>
      <c r="G1" s="1" t="inlineStr">
        <is>
          <t>SQL Diagnostic Revenue (INR)</t>
        </is>
      </c>
      <c r="H1" s="1" t="inlineStr">
        <is>
          <t>Reconciliation Diff (INR)</t>
        </is>
      </c>
    </row>
    <row r="2">
      <c r="A2" s="2" t="inlineStr">
        <is>
          <t>Household Essentials</t>
        </is>
      </c>
      <c r="B2" s="3">
        <f>SUMIF('Monthly Data'!A:A, A2, 'Monthly Data'!D:D)</f>
        <v/>
      </c>
      <c r="C2" s="4">
        <f>VLOOKUP(A2, 'Category Targets'!A:B, 2, FALSE)</f>
        <v/>
      </c>
      <c r="D2" s="5">
        <f>B2-C2</f>
        <v/>
      </c>
      <c r="E2" s="6">
        <f>(B2-C2)/C2</f>
        <v/>
      </c>
      <c r="F2" s="7">
        <f>IF(B2&gt;=C2, "Above Target", IF((B2-C2)/C2&gt;=-0.15, "Below Target - Watch", "Below Target - Critical"))</f>
        <v/>
      </c>
      <c r="G2" s="8" t="n">
        <v>21715</v>
      </c>
      <c r="H2" s="5">
        <f>B2-G2</f>
        <v/>
      </c>
    </row>
    <row r="3">
      <c r="A3" s="2" t="inlineStr">
        <is>
          <t>Personal Care</t>
        </is>
      </c>
      <c r="B3" s="3">
        <f>SUMIF('Monthly Data'!A:A, A3, 'Monthly Data'!D:D)</f>
        <v/>
      </c>
      <c r="C3" s="4">
        <f>VLOOKUP(A3, 'Category Targets'!A:B, 2, FALSE)</f>
        <v/>
      </c>
      <c r="D3" s="5">
        <f>B3-C3</f>
        <v/>
      </c>
      <c r="E3" s="6">
        <f>(B3-C3)/C3</f>
        <v/>
      </c>
      <c r="F3" s="7">
        <f>IF(B3&gt;=C3, "Above Target", IF((B3-C3)/C3&gt;=-0.15, "Below Target - Watch", "Below Target - Critical"))</f>
        <v/>
      </c>
      <c r="G3" s="8" t="n">
        <v>16382</v>
      </c>
      <c r="H3" s="5">
        <f>B3-G3</f>
        <v/>
      </c>
    </row>
    <row r="4">
      <c r="A4" s="2" t="inlineStr">
        <is>
          <t>Bakery</t>
        </is>
      </c>
      <c r="B4" s="3">
        <f>SUMIF('Monthly Data'!A:A, A4, 'Monthly Data'!D:D)</f>
        <v/>
      </c>
      <c r="C4" s="4">
        <f>VLOOKUP(A4, 'Category Targets'!A:B, 2, FALSE)</f>
        <v/>
      </c>
      <c r="D4" s="5">
        <f>B4-C4</f>
        <v/>
      </c>
      <c r="E4" s="6">
        <f>(B4-C4)/C4</f>
        <v/>
      </c>
      <c r="F4" s="7">
        <f>IF(B4&gt;=C4, "Above Target", IF((B4-C4)/C4&gt;=-0.15, "Below Target - Watch", "Below Target - Critical"))</f>
        <v/>
      </c>
      <c r="G4" s="8" t="n">
        <v>15410</v>
      </c>
      <c r="H4" s="5">
        <f>B4-G4</f>
        <v/>
      </c>
    </row>
    <row r="5">
      <c r="A5" s="2" t="inlineStr">
        <is>
          <t>Dairy &amp; Eggs</t>
        </is>
      </c>
      <c r="B5" s="3">
        <f>SUMIF('Monthly Data'!A:A, A5, 'Monthly Data'!D:D)</f>
        <v/>
      </c>
      <c r="C5" s="4">
        <f>VLOOKUP(A5, 'Category Targets'!A:B, 2, FALSE)</f>
        <v/>
      </c>
      <c r="D5" s="5">
        <f>B5-C5</f>
        <v/>
      </c>
      <c r="E5" s="6">
        <f>(B5-C5)/C5</f>
        <v/>
      </c>
      <c r="F5" s="7">
        <f>IF(B5&gt;=C5, "Above Target", IF((B5-C5)/C5&gt;=-0.15, "Below Target - Watch", "Below Target - Critical"))</f>
        <v/>
      </c>
      <c r="G5" s="8" t="n">
        <v>14090</v>
      </c>
      <c r="H5" s="5">
        <f>B5-G5</f>
        <v/>
      </c>
    </row>
    <row r="6">
      <c r="A6" s="2" t="inlineStr">
        <is>
          <t>Snacks &amp; Beverages</t>
        </is>
      </c>
      <c r="B6" s="3">
        <f>SUMIF('Monthly Data'!A:A, A6, 'Monthly Data'!D:D)</f>
        <v/>
      </c>
      <c r="C6" s="4">
        <f>VLOOKUP(A6, 'Category Targets'!A:B, 2, FALSE)</f>
        <v/>
      </c>
      <c r="D6" s="5">
        <f>B6-C6</f>
        <v/>
      </c>
      <c r="E6" s="6">
        <f>(B6-C6)/C6</f>
        <v/>
      </c>
      <c r="F6" s="7">
        <f>IF(B6&gt;=C6, "Above Target", IF((B6-C6)/C6&gt;=-0.15, "Below Target - Watch", "Below Target - Critical"))</f>
        <v/>
      </c>
      <c r="G6" s="8" t="n">
        <v>10895</v>
      </c>
      <c r="H6" s="5">
        <f>B6-G6</f>
        <v/>
      </c>
    </row>
    <row r="7">
      <c r="A7" s="2" t="inlineStr">
        <is>
          <t>Fruits &amp; Vegetables</t>
        </is>
      </c>
      <c r="B7" s="3">
        <f>SUMIF('Monthly Data'!A:A, A7, 'Monthly Data'!D:D)</f>
        <v/>
      </c>
      <c r="C7" s="4">
        <f>VLOOKUP(A7, 'Category Targets'!A:B, 2, FALSE)</f>
        <v/>
      </c>
      <c r="D7" s="5">
        <f>B7-C7</f>
        <v/>
      </c>
      <c r="E7" s="6">
        <f>(B7-C7)/C7</f>
        <v/>
      </c>
      <c r="F7" s="7">
        <f>IF(B7&gt;=C7, "Above Target", IF((B7-C7)/C7&gt;=-0.15, "Below Target - Watch", "Below Target - Critical"))</f>
        <v/>
      </c>
      <c r="G7" s="8" t="n">
        <v>9790</v>
      </c>
      <c r="H7" s="5">
        <f>B7-G7</f>
        <v/>
      </c>
    </row>
    <row r="8">
      <c r="A8" s="9" t="inlineStr">
        <is>
          <t>Grand Total</t>
        </is>
      </c>
      <c r="B8" s="10">
        <f>SUM(B2:B7)</f>
        <v/>
      </c>
      <c r="C8" s="10">
        <f>SUM(C2:C7)</f>
        <v/>
      </c>
      <c r="D8" s="11">
        <f>B8-C8</f>
        <v/>
      </c>
      <c r="E8" s="12">
        <f>(B8-C8)/C8</f>
        <v/>
      </c>
      <c r="F8" s="13" t="inlineStr">
        <is>
          <t>-</t>
        </is>
      </c>
      <c r="G8" s="10">
        <f>SUM(G2:G7)</f>
        <v/>
      </c>
      <c r="H8" s="11">
        <f>B8-G8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7" customWidth="1" min="4" max="4"/>
    <col width="15" customWidth="1" min="5" max="5"/>
  </cols>
  <sheetData>
    <row r="1" ht="24" customHeight="1">
      <c r="A1" s="14" t="inlineStr">
        <is>
          <t>category</t>
        </is>
      </c>
      <c r="B1" s="14" t="inlineStr">
        <is>
          <t>month</t>
        </is>
      </c>
      <c r="C1" s="14" t="inlineStr">
        <is>
          <t>order_count</t>
        </is>
      </c>
      <c r="D1" s="14" t="inlineStr">
        <is>
          <t>total_revenue</t>
        </is>
      </c>
      <c r="E1" s="14" t="inlineStr">
        <is>
          <t>avg_revenue</t>
        </is>
      </c>
    </row>
    <row r="2">
      <c r="A2" s="15" t="inlineStr">
        <is>
          <t>Bakery</t>
        </is>
      </c>
      <c r="B2" s="15" t="inlineStr">
        <is>
          <t>2026-01</t>
        </is>
      </c>
      <c r="C2" s="16" t="n">
        <v>6</v>
      </c>
      <c r="D2" s="16" t="n">
        <v>735</v>
      </c>
      <c r="E2" s="17" t="n">
        <v>122.5</v>
      </c>
    </row>
    <row r="3">
      <c r="A3" s="15" t="inlineStr">
        <is>
          <t>Bakery</t>
        </is>
      </c>
      <c r="B3" s="15" t="inlineStr">
        <is>
          <t>2026-02</t>
        </is>
      </c>
      <c r="C3" s="16" t="n">
        <v>8</v>
      </c>
      <c r="D3" s="16" t="n">
        <v>2440</v>
      </c>
      <c r="E3" s="17" t="n">
        <v>305</v>
      </c>
    </row>
    <row r="4">
      <c r="A4" s="15" t="inlineStr">
        <is>
          <t>Bakery</t>
        </is>
      </c>
      <c r="B4" s="15" t="inlineStr">
        <is>
          <t>2026-03</t>
        </is>
      </c>
      <c r="C4" s="16" t="n">
        <v>11</v>
      </c>
      <c r="D4" s="16" t="n">
        <v>3090</v>
      </c>
      <c r="E4" s="17" t="n">
        <v>280.91</v>
      </c>
    </row>
    <row r="5">
      <c r="A5" s="15" t="inlineStr">
        <is>
          <t>Bakery</t>
        </is>
      </c>
      <c r="B5" s="15" t="inlineStr">
        <is>
          <t>2026-04</t>
        </is>
      </c>
      <c r="C5" s="16" t="n">
        <v>13</v>
      </c>
      <c r="D5" s="16" t="n">
        <v>3115</v>
      </c>
      <c r="E5" s="17" t="n">
        <v>239.62</v>
      </c>
    </row>
    <row r="6">
      <c r="A6" s="15" t="inlineStr">
        <is>
          <t>Bakery</t>
        </is>
      </c>
      <c r="B6" s="15" t="inlineStr">
        <is>
          <t>2026-05</t>
        </is>
      </c>
      <c r="C6" s="16" t="n">
        <v>15</v>
      </c>
      <c r="D6" s="16" t="n">
        <v>3695</v>
      </c>
      <c r="E6" s="17" t="n">
        <v>246.33</v>
      </c>
    </row>
    <row r="7">
      <c r="A7" s="15" t="inlineStr">
        <is>
          <t>Bakery</t>
        </is>
      </c>
      <c r="B7" s="15" t="inlineStr">
        <is>
          <t>2026-06</t>
        </is>
      </c>
      <c r="C7" s="16" t="n">
        <v>14</v>
      </c>
      <c r="D7" s="16" t="n">
        <v>2335</v>
      </c>
      <c r="E7" s="17" t="n">
        <v>166.79</v>
      </c>
    </row>
    <row r="8">
      <c r="A8" s="15" t="inlineStr">
        <is>
          <t>Dairy &amp; Eggs</t>
        </is>
      </c>
      <c r="B8" s="15" t="inlineStr">
        <is>
          <t>2026-01</t>
        </is>
      </c>
      <c r="C8" s="16" t="n">
        <v>9</v>
      </c>
      <c r="D8" s="16" t="n">
        <v>2035</v>
      </c>
      <c r="E8" s="17" t="n">
        <v>226.11</v>
      </c>
    </row>
    <row r="9">
      <c r="A9" s="15" t="inlineStr">
        <is>
          <t>Dairy &amp; Eggs</t>
        </is>
      </c>
      <c r="B9" s="15" t="inlineStr">
        <is>
          <t>2026-02</t>
        </is>
      </c>
      <c r="C9" s="16" t="n">
        <v>8</v>
      </c>
      <c r="D9" s="16" t="n">
        <v>1935</v>
      </c>
      <c r="E9" s="17" t="n">
        <v>241.88</v>
      </c>
    </row>
    <row r="10">
      <c r="A10" s="15" t="inlineStr">
        <is>
          <t>Dairy &amp; Eggs</t>
        </is>
      </c>
      <c r="B10" s="15" t="inlineStr">
        <is>
          <t>2026-03</t>
        </is>
      </c>
      <c r="C10" s="16" t="n">
        <v>15</v>
      </c>
      <c r="D10" s="16" t="n">
        <v>3163</v>
      </c>
      <c r="E10" s="17" t="n">
        <v>210.87</v>
      </c>
    </row>
    <row r="11">
      <c r="A11" s="15" t="inlineStr">
        <is>
          <t>Dairy &amp; Eggs</t>
        </is>
      </c>
      <c r="B11" s="15" t="inlineStr">
        <is>
          <t>2026-04</t>
        </is>
      </c>
      <c r="C11" s="16" t="n">
        <v>9</v>
      </c>
      <c r="D11" s="16" t="n">
        <v>1650</v>
      </c>
      <c r="E11" s="17" t="n">
        <v>183.33</v>
      </c>
    </row>
    <row r="12">
      <c r="A12" s="15" t="inlineStr">
        <is>
          <t>Dairy &amp; Eggs</t>
        </is>
      </c>
      <c r="B12" s="15" t="inlineStr">
        <is>
          <t>2026-05</t>
        </is>
      </c>
      <c r="C12" s="16" t="n">
        <v>14</v>
      </c>
      <c r="D12" s="16" t="n">
        <v>3479</v>
      </c>
      <c r="E12" s="17" t="n">
        <v>248.5</v>
      </c>
    </row>
    <row r="13">
      <c r="A13" s="15" t="inlineStr">
        <is>
          <t>Dairy &amp; Eggs</t>
        </is>
      </c>
      <c r="B13" s="15" t="inlineStr">
        <is>
          <t>2026-06</t>
        </is>
      </c>
      <c r="C13" s="16" t="n">
        <v>11</v>
      </c>
      <c r="D13" s="16" t="n">
        <v>1828</v>
      </c>
      <c r="E13" s="17" t="n">
        <v>166.18</v>
      </c>
    </row>
    <row r="14">
      <c r="A14" s="15" t="inlineStr">
        <is>
          <t>Fruits &amp; Vegetables</t>
        </is>
      </c>
      <c r="B14" s="15" t="inlineStr">
        <is>
          <t>2026-01</t>
        </is>
      </c>
      <c r="C14" s="16" t="n">
        <v>12</v>
      </c>
      <c r="D14" s="16" t="n">
        <v>1290</v>
      </c>
      <c r="E14" s="17" t="n">
        <v>107.5</v>
      </c>
    </row>
    <row r="15">
      <c r="A15" s="15" t="inlineStr">
        <is>
          <t>Fruits &amp; Vegetables</t>
        </is>
      </c>
      <c r="B15" s="15" t="inlineStr">
        <is>
          <t>2026-02</t>
        </is>
      </c>
      <c r="C15" s="16" t="n">
        <v>13</v>
      </c>
      <c r="D15" s="16" t="n">
        <v>2090</v>
      </c>
      <c r="E15" s="17" t="n">
        <v>160.77</v>
      </c>
    </row>
    <row r="16">
      <c r="A16" s="15" t="inlineStr">
        <is>
          <t>Fruits &amp; Vegetables</t>
        </is>
      </c>
      <c r="B16" s="15" t="inlineStr">
        <is>
          <t>2026-03</t>
        </is>
      </c>
      <c r="C16" s="16" t="n">
        <v>13</v>
      </c>
      <c r="D16" s="16" t="n">
        <v>2080</v>
      </c>
      <c r="E16" s="17" t="n">
        <v>160</v>
      </c>
    </row>
    <row r="17">
      <c r="A17" s="15" t="inlineStr">
        <is>
          <t>Fruits &amp; Vegetables</t>
        </is>
      </c>
      <c r="B17" s="15" t="inlineStr">
        <is>
          <t>2026-04</t>
        </is>
      </c>
      <c r="C17" s="16" t="n">
        <v>14</v>
      </c>
      <c r="D17" s="16" t="n">
        <v>1400</v>
      </c>
      <c r="E17" s="17" t="n">
        <v>100</v>
      </c>
    </row>
    <row r="18">
      <c r="A18" s="15" t="inlineStr">
        <is>
          <t>Fruits &amp; Vegetables</t>
        </is>
      </c>
      <c r="B18" s="15" t="inlineStr">
        <is>
          <t>2026-05</t>
        </is>
      </c>
      <c r="C18" s="16" t="n">
        <v>12</v>
      </c>
      <c r="D18" s="16" t="n">
        <v>1870</v>
      </c>
      <c r="E18" s="17" t="n">
        <v>155.83</v>
      </c>
    </row>
    <row r="19">
      <c r="A19" s="15" t="inlineStr">
        <is>
          <t>Fruits &amp; Vegetables</t>
        </is>
      </c>
      <c r="B19" s="15" t="inlineStr">
        <is>
          <t>2026-06</t>
        </is>
      </c>
      <c r="C19" s="16" t="n">
        <v>9</v>
      </c>
      <c r="D19" s="16" t="n">
        <v>1060</v>
      </c>
      <c r="E19" s="17" t="n">
        <v>117.78</v>
      </c>
    </row>
    <row r="20">
      <c r="A20" s="15" t="inlineStr">
        <is>
          <t>Household Essentials</t>
        </is>
      </c>
      <c r="B20" s="15" t="inlineStr">
        <is>
          <t>2026-01</t>
        </is>
      </c>
      <c r="C20" s="16" t="n">
        <v>10</v>
      </c>
      <c r="D20" s="16" t="n">
        <v>2099</v>
      </c>
      <c r="E20" s="17" t="n">
        <v>209.9</v>
      </c>
    </row>
    <row r="21">
      <c r="A21" s="15" t="inlineStr">
        <is>
          <t>Household Essentials</t>
        </is>
      </c>
      <c r="B21" s="15" t="inlineStr">
        <is>
          <t>2026-02</t>
        </is>
      </c>
      <c r="C21" s="16" t="n">
        <v>16</v>
      </c>
      <c r="D21" s="16" t="n">
        <v>5113</v>
      </c>
      <c r="E21" s="17" t="n">
        <v>319.56</v>
      </c>
    </row>
    <row r="22">
      <c r="A22" s="15" t="inlineStr">
        <is>
          <t>Household Essentials</t>
        </is>
      </c>
      <c r="B22" s="15" t="inlineStr">
        <is>
          <t>2026-03</t>
        </is>
      </c>
      <c r="C22" s="16" t="n">
        <v>8</v>
      </c>
      <c r="D22" s="16" t="n">
        <v>1885</v>
      </c>
      <c r="E22" s="17" t="n">
        <v>235.63</v>
      </c>
    </row>
    <row r="23">
      <c r="A23" s="15" t="inlineStr">
        <is>
          <t>Household Essentials</t>
        </is>
      </c>
      <c r="B23" s="15" t="inlineStr">
        <is>
          <t>2026-04</t>
        </is>
      </c>
      <c r="C23" s="16" t="n">
        <v>17</v>
      </c>
      <c r="D23" s="16" t="n">
        <v>5491</v>
      </c>
      <c r="E23" s="17" t="n">
        <v>323</v>
      </c>
    </row>
    <row r="24">
      <c r="A24" s="15" t="inlineStr">
        <is>
          <t>Household Essentials</t>
        </is>
      </c>
      <c r="B24" s="15" t="inlineStr">
        <is>
          <t>2026-05</t>
        </is>
      </c>
      <c r="C24" s="16" t="n">
        <v>16</v>
      </c>
      <c r="D24" s="16" t="n">
        <v>3477</v>
      </c>
      <c r="E24" s="17" t="n">
        <v>217.31</v>
      </c>
    </row>
    <row r="25">
      <c r="A25" s="15" t="inlineStr">
        <is>
          <t>Household Essentials</t>
        </is>
      </c>
      <c r="B25" s="15" t="inlineStr">
        <is>
          <t>2026-06</t>
        </is>
      </c>
      <c r="C25" s="16" t="n">
        <v>12</v>
      </c>
      <c r="D25" s="16" t="n">
        <v>3650</v>
      </c>
      <c r="E25" s="17" t="n">
        <v>304.17</v>
      </c>
    </row>
    <row r="26">
      <c r="A26" s="15" t="inlineStr">
        <is>
          <t>Personal Care</t>
        </is>
      </c>
      <c r="B26" s="15" t="inlineStr">
        <is>
          <t>2026-01</t>
        </is>
      </c>
      <c r="C26" s="16" t="n">
        <v>12</v>
      </c>
      <c r="D26" s="16" t="n">
        <v>3608</v>
      </c>
      <c r="E26" s="17" t="n">
        <v>300.67</v>
      </c>
    </row>
    <row r="27">
      <c r="A27" s="15" t="inlineStr">
        <is>
          <t>Personal Care</t>
        </is>
      </c>
      <c r="B27" s="15" t="inlineStr">
        <is>
          <t>2026-02</t>
        </is>
      </c>
      <c r="C27" s="16" t="n">
        <v>8</v>
      </c>
      <c r="D27" s="16" t="n">
        <v>2177</v>
      </c>
      <c r="E27" s="17" t="n">
        <v>272.13</v>
      </c>
    </row>
    <row r="28">
      <c r="A28" s="15" t="inlineStr">
        <is>
          <t>Personal Care</t>
        </is>
      </c>
      <c r="B28" s="15" t="inlineStr">
        <is>
          <t>2026-03</t>
        </is>
      </c>
      <c r="C28" s="16" t="n">
        <v>11</v>
      </c>
      <c r="D28" s="16" t="n">
        <v>2807</v>
      </c>
      <c r="E28" s="17" t="n">
        <v>255.18</v>
      </c>
    </row>
    <row r="29">
      <c r="A29" s="15" t="inlineStr">
        <is>
          <t>Personal Care</t>
        </is>
      </c>
      <c r="B29" s="15" t="inlineStr">
        <is>
          <t>2026-04</t>
        </is>
      </c>
      <c r="C29" s="16" t="n">
        <v>9</v>
      </c>
      <c r="D29" s="16" t="n">
        <v>1970</v>
      </c>
      <c r="E29" s="17" t="n">
        <v>218.89</v>
      </c>
    </row>
    <row r="30">
      <c r="A30" s="15" t="inlineStr">
        <is>
          <t>Personal Care</t>
        </is>
      </c>
      <c r="B30" s="15" t="inlineStr">
        <is>
          <t>2026-05</t>
        </is>
      </c>
      <c r="C30" s="16" t="n">
        <v>13</v>
      </c>
      <c r="D30" s="16" t="n">
        <v>3045</v>
      </c>
      <c r="E30" s="17" t="n">
        <v>234.23</v>
      </c>
    </row>
    <row r="31">
      <c r="A31" s="15" t="inlineStr">
        <is>
          <t>Personal Care</t>
        </is>
      </c>
      <c r="B31" s="15" t="inlineStr">
        <is>
          <t>2026-06</t>
        </is>
      </c>
      <c r="C31" s="16" t="n">
        <v>13</v>
      </c>
      <c r="D31" s="16" t="n">
        <v>2775</v>
      </c>
      <c r="E31" s="17" t="n">
        <v>213.46</v>
      </c>
    </row>
    <row r="32">
      <c r="A32" s="15" t="inlineStr">
        <is>
          <t>Snacks &amp; Beverages</t>
        </is>
      </c>
      <c r="B32" s="15" t="inlineStr">
        <is>
          <t>2026-01</t>
        </is>
      </c>
      <c r="C32" s="16" t="n">
        <v>10</v>
      </c>
      <c r="D32" s="16" t="n">
        <v>1290</v>
      </c>
      <c r="E32" s="17" t="n">
        <v>129</v>
      </c>
    </row>
    <row r="33">
      <c r="A33" s="15" t="inlineStr">
        <is>
          <t>Snacks &amp; Beverages</t>
        </is>
      </c>
      <c r="B33" s="15" t="inlineStr">
        <is>
          <t>2026-02</t>
        </is>
      </c>
      <c r="C33" s="16" t="n">
        <v>11</v>
      </c>
      <c r="D33" s="16" t="n">
        <v>1330</v>
      </c>
      <c r="E33" s="17" t="n">
        <v>120.91</v>
      </c>
    </row>
    <row r="34">
      <c r="A34" s="15" t="inlineStr">
        <is>
          <t>Snacks &amp; Beverages</t>
        </is>
      </c>
      <c r="B34" s="15" t="inlineStr">
        <is>
          <t>2026-03</t>
        </is>
      </c>
      <c r="C34" s="16" t="n">
        <v>15</v>
      </c>
      <c r="D34" s="16" t="n">
        <v>1670</v>
      </c>
      <c r="E34" s="17" t="n">
        <v>111.33</v>
      </c>
    </row>
    <row r="35">
      <c r="A35" s="15" t="inlineStr">
        <is>
          <t>Snacks &amp; Beverages</t>
        </is>
      </c>
      <c r="B35" s="15" t="inlineStr">
        <is>
          <t>2026-04</t>
        </is>
      </c>
      <c r="C35" s="16" t="n">
        <v>19</v>
      </c>
      <c r="D35" s="16" t="n">
        <v>2980</v>
      </c>
      <c r="E35" s="17" t="n">
        <v>156.84</v>
      </c>
    </row>
    <row r="36">
      <c r="A36" s="15" t="inlineStr">
        <is>
          <t>Snacks &amp; Beverages</t>
        </is>
      </c>
      <c r="B36" s="15" t="inlineStr">
        <is>
          <t>2026-05</t>
        </is>
      </c>
      <c r="C36" s="16" t="n">
        <v>13</v>
      </c>
      <c r="D36" s="16" t="n">
        <v>1665</v>
      </c>
      <c r="E36" s="17" t="n">
        <v>128.08</v>
      </c>
    </row>
    <row r="37">
      <c r="A37" s="15" t="inlineStr">
        <is>
          <t>Snacks &amp; Beverages</t>
        </is>
      </c>
      <c r="B37" s="15" t="inlineStr">
        <is>
          <t>2026-06</t>
        </is>
      </c>
      <c r="C37" s="16" t="n">
        <v>15</v>
      </c>
      <c r="D37" s="16" t="n">
        <v>1960</v>
      </c>
      <c r="E37" s="17" t="n">
        <v>130.67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 ht="24" customHeight="1">
      <c r="A1" s="14" t="inlineStr">
        <is>
          <t>category</t>
        </is>
      </c>
      <c r="B1" s="14" t="inlineStr">
        <is>
          <t>target_revenue_inr</t>
        </is>
      </c>
    </row>
    <row r="2">
      <c r="A2" s="15" t="inlineStr">
        <is>
          <t>Fruits &amp; Vegetables</t>
        </is>
      </c>
      <c r="B2" s="18" t="n">
        <v>12000</v>
      </c>
    </row>
    <row r="3">
      <c r="A3" s="15" t="inlineStr">
        <is>
          <t>Dairy &amp; Eggs</t>
        </is>
      </c>
      <c r="B3" s="18" t="n">
        <v>16500</v>
      </c>
    </row>
    <row r="4">
      <c r="A4" s="15" t="inlineStr">
        <is>
          <t>Snacks &amp; Beverages</t>
        </is>
      </c>
      <c r="B4" s="18" t="n">
        <v>13000</v>
      </c>
    </row>
    <row r="5">
      <c r="A5" s="15" t="inlineStr">
        <is>
          <t>Personal Care</t>
        </is>
      </c>
      <c r="B5" s="18" t="n">
        <v>15500</v>
      </c>
    </row>
    <row r="6">
      <c r="A6" s="15" t="inlineStr">
        <is>
          <t>Household Essentials</t>
        </is>
      </c>
      <c r="B6" s="18" t="n">
        <v>17000</v>
      </c>
    </row>
    <row r="7">
      <c r="A7" s="15" t="inlineStr">
        <is>
          <t>Bakery</t>
        </is>
      </c>
      <c r="B7" s="18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2026-09-14T13:32:15Z</dcterms:created>
  <dcterms:modified xmlns:dcterms="http://purl.org/dc/terms/" xmlns:xsi="http://www.w3.org/2001/XMLSchema-instance" xsi:type="dcterms:W3CDTF">2026-09-14T13:32:15Z</dcterms:modified>
</cp:coreProperties>
</file>